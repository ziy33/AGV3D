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_zhao\Desktop\尾牙\"/>
    </mc:Choice>
  </mc:AlternateContent>
  <xr:revisionPtr revIDLastSave="0" documentId="13_ncr:1_{90D7BD73-8791-4CE5-841E-F464EE09F3A3}" xr6:coauthVersionLast="47" xr6:coauthVersionMax="47" xr10:uidLastSave="{00000000-0000-0000-0000-000000000000}"/>
  <bookViews>
    <workbookView xWindow="-110" yWindow="-110" windowWidth="19420" windowHeight="10420" activeTab="1" xr2:uid="{E4720A14-42B6-477C-95FC-631899365C81}"/>
  </bookViews>
  <sheets>
    <sheet name="工作表1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0" i="2" l="1"/>
  <c r="G25" i="2"/>
  <c r="G24" i="2"/>
  <c r="G5" i="2"/>
  <c r="G4" i="2"/>
  <c r="G3" i="2"/>
  <c r="G2" i="2"/>
</calcChain>
</file>

<file path=xl/sharedStrings.xml><?xml version="1.0" encoding="utf-8"?>
<sst xmlns="http://schemas.openxmlformats.org/spreadsheetml/2006/main" count="202" uniqueCount="91">
  <si>
    <t>Aku yang lemah tanpamu</t>
  </si>
  <si>
    <t>Aku yang rentan karena</t>
  </si>
  <si>
    <t>Cinta yang t'lah hilang darimu</t>
  </si>
  <si>
    <t>Yang mampu menyanjungku</t>
  </si>
  <si>
    <t>Selama mata terbuka</t>
  </si>
  <si>
    <t>Sampai jantung tak berdetak</t>
  </si>
  <si>
    <t>Selama itu pun aku mampu untuk mengenangmu</t>
  </si>
  <si>
    <t>Darimu (darimu), kutemukan hidupku</t>
  </si>
  <si>
    <t>Bagiku (bagiku), kaulah cinta sejati</t>
  </si>
  <si>
    <t>Yeah, huu, huu (darimu)</t>
  </si>
  <si>
    <t>(Bagiku, engkaulah cinta sejati)</t>
  </si>
  <si>
    <t>Bila yang tertulis untukku</t>
  </si>
  <si>
    <t>Adalah yang terbaik untukmu</t>
  </si>
  <si>
    <t>'Kan kujadikan kau kenangan</t>
  </si>
  <si>
    <t>Yang terindah dalam hidupku</t>
  </si>
  <si>
    <t>Namun takkan mudah bagiku</t>
  </si>
  <si>
    <t>Meninggalkan jejak hidupmu</t>
  </si>
  <si>
    <t>Yang t'lah terukir abadi</t>
  </si>
  <si>
    <t>Sebagai kenangan yang terindah</t>
  </si>
  <si>
    <t>Oo-hoo, oo-hoo</t>
  </si>
  <si>
    <t>Kenangan Terindah</t>
    <phoneticPr fontId="1" type="noConversion"/>
  </si>
  <si>
    <t>[Chorus 2]</t>
    <phoneticPr fontId="1" type="noConversion"/>
  </si>
  <si>
    <t>Start</t>
    <phoneticPr fontId="1" type="noConversion"/>
  </si>
  <si>
    <t>End</t>
    <phoneticPr fontId="1" type="noConversion"/>
  </si>
  <si>
    <t>Roll</t>
    <phoneticPr fontId="1" type="noConversion"/>
  </si>
  <si>
    <t>[Chorus 1]</t>
  </si>
  <si>
    <t>[Outro Chorus]</t>
  </si>
  <si>
    <t>Intro 1</t>
    <phoneticPr fontId="1" type="noConversion"/>
  </si>
  <si>
    <t>Intro 2</t>
    <phoneticPr fontId="1" type="noConversion"/>
  </si>
  <si>
    <t>Intro 3</t>
    <phoneticPr fontId="1" type="noConversion"/>
  </si>
  <si>
    <t>Instrumental Break</t>
    <phoneticPr fontId="1" type="noConversion"/>
  </si>
  <si>
    <t>[Pre-Chorus]</t>
    <phoneticPr fontId="1" type="noConversion"/>
  </si>
  <si>
    <t>[Extension]</t>
    <phoneticPr fontId="1" type="noConversion"/>
  </si>
  <si>
    <r>
      <rPr>
        <b/>
        <sz val="9"/>
        <color theme="1"/>
        <rFont val="微軟正黑體"/>
        <family val="2"/>
        <charset val="136"/>
      </rPr>
      <t>最美好的回憶</t>
    </r>
    <phoneticPr fontId="1" type="noConversion"/>
  </si>
  <si>
    <r>
      <rPr>
        <sz val="9"/>
        <color theme="1"/>
        <rFont val="Microsoft JhengHei"/>
        <family val="2"/>
        <charset val="136"/>
      </rPr>
      <t>打字機字幕</t>
    </r>
    <phoneticPr fontId="1" type="noConversion"/>
  </si>
  <si>
    <r>
      <rPr>
        <sz val="9"/>
        <color theme="1"/>
        <rFont val="微軟正黑體"/>
        <family val="2"/>
        <charset val="136"/>
      </rPr>
      <t>沒有你，我是如此軟弱</t>
    </r>
    <phoneticPr fontId="1" type="noConversion"/>
  </si>
  <si>
    <r>
      <rPr>
        <sz val="9"/>
        <color theme="1"/>
        <rFont val="微軟正黑體"/>
        <family val="2"/>
        <charset val="136"/>
      </rPr>
      <t>因為失去你，我變得無比脆弱</t>
    </r>
    <phoneticPr fontId="1" type="noConversion"/>
  </si>
  <si>
    <r>
      <rPr>
        <sz val="9"/>
        <color theme="1"/>
        <rFont val="微軟正黑體"/>
        <family val="2"/>
        <charset val="136"/>
      </rPr>
      <t>那份從你身上悄然逝去的愛</t>
    </r>
    <phoneticPr fontId="1" type="noConversion"/>
  </si>
  <si>
    <r>
      <rPr>
        <sz val="9"/>
        <color theme="1"/>
        <rFont val="微軟正黑體"/>
        <family val="2"/>
        <charset val="136"/>
      </rPr>
      <t>曾能讓我感到無比自豪與被寵愛</t>
    </r>
    <phoneticPr fontId="1" type="noConversion"/>
  </si>
  <si>
    <r>
      <rPr>
        <sz val="9"/>
        <color theme="1"/>
        <rFont val="微軟正黑體"/>
        <family val="2"/>
        <charset val="136"/>
      </rPr>
      <t>只要我眼睛還睜著（還活著）</t>
    </r>
    <phoneticPr fontId="1" type="noConversion"/>
  </si>
  <si>
    <r>
      <rPr>
        <sz val="9"/>
        <color theme="1"/>
        <rFont val="微軟正黑體"/>
        <family val="2"/>
        <charset val="136"/>
      </rPr>
      <t>直到心臟停止跳動的那一刻</t>
    </r>
    <phoneticPr fontId="1" type="noConversion"/>
  </si>
  <si>
    <r>
      <t xml:space="preserve">Open Code </t>
    </r>
    <r>
      <rPr>
        <sz val="9"/>
        <color theme="1"/>
        <rFont val="Microsoft JhengHei"/>
        <family val="2"/>
      </rPr>
      <t>競賽剪影</t>
    </r>
    <phoneticPr fontId="1" type="noConversion"/>
  </si>
  <si>
    <r>
      <rPr>
        <sz val="9"/>
        <color theme="1"/>
        <rFont val="微軟正黑體"/>
        <family val="2"/>
        <charset val="136"/>
      </rPr>
      <t>在這之前的每一刻，我都仍有能力將你惦記</t>
    </r>
    <phoneticPr fontId="1" type="noConversion"/>
  </si>
  <si>
    <r>
      <t>Open Code</t>
    </r>
    <r>
      <rPr>
        <sz val="9"/>
        <color theme="1"/>
        <rFont val="Microsoft JhengHei"/>
        <family val="2"/>
      </rPr>
      <t>頒獎</t>
    </r>
    <phoneticPr fontId="1" type="noConversion"/>
  </si>
  <si>
    <r>
      <rPr>
        <sz val="9"/>
        <color theme="1"/>
        <rFont val="微軟正黑體"/>
        <family val="2"/>
        <charset val="136"/>
      </rPr>
      <t>從你身上（從你身上），我找到了生命的意義</t>
    </r>
    <phoneticPr fontId="1" type="noConversion"/>
  </si>
  <si>
    <r>
      <rPr>
        <sz val="9"/>
        <color theme="1"/>
        <rFont val="微軟正黑體"/>
        <family val="2"/>
        <charset val="136"/>
      </rPr>
      <t>對我而言（對我而言），你就是那唯一的真愛</t>
    </r>
    <phoneticPr fontId="1" type="noConversion"/>
  </si>
  <si>
    <r>
      <rPr>
        <sz val="9"/>
        <color theme="1"/>
        <rFont val="Microsoft JhengHei"/>
        <family val="2"/>
        <charset val="136"/>
      </rPr>
      <t>無人機</t>
    </r>
    <phoneticPr fontId="1" type="noConversion"/>
  </si>
  <si>
    <r>
      <rPr>
        <sz val="9"/>
        <color theme="1"/>
        <rFont val="微軟正黑體"/>
        <family val="2"/>
        <charset val="136"/>
      </rPr>
      <t>耶，呼，呼（從你身上）</t>
    </r>
    <phoneticPr fontId="1" type="noConversion"/>
  </si>
  <si>
    <r>
      <rPr>
        <sz val="9"/>
        <color theme="1"/>
        <rFont val="微軟正黑體"/>
        <family val="2"/>
        <charset val="136"/>
      </rPr>
      <t>（對我而言，你就是那唯一的真愛）</t>
    </r>
    <phoneticPr fontId="1" type="noConversion"/>
  </si>
  <si>
    <r>
      <rPr>
        <sz val="9"/>
        <color theme="1"/>
        <rFont val="微軟正黑體"/>
        <family val="2"/>
        <charset val="136"/>
      </rPr>
      <t>如果命中注定寫給我的結局</t>
    </r>
    <phoneticPr fontId="1" type="noConversion"/>
  </si>
  <si>
    <r>
      <rPr>
        <sz val="9"/>
        <color theme="1"/>
        <rFont val="微軟正黑體"/>
        <family val="2"/>
        <charset val="136"/>
      </rPr>
      <t>恰好是對你而言最好的結果</t>
    </r>
    <phoneticPr fontId="1" type="noConversion"/>
  </si>
  <si>
    <r>
      <rPr>
        <sz val="9"/>
        <color theme="1"/>
        <rFont val="微軟正黑體"/>
        <family val="2"/>
        <charset val="136"/>
      </rPr>
      <t>那我會將你化作一段回憶</t>
    </r>
    <phoneticPr fontId="1" type="noConversion"/>
  </si>
  <si>
    <r>
      <rPr>
        <sz val="9"/>
        <color theme="1"/>
        <rFont val="微軟正黑體"/>
        <family val="2"/>
        <charset val="136"/>
      </rPr>
      <t>我生命中那段最美的回憶</t>
    </r>
    <phoneticPr fontId="1" type="noConversion"/>
  </si>
  <si>
    <r>
      <rPr>
        <sz val="9"/>
        <color theme="1"/>
        <rFont val="微軟正黑體"/>
        <family val="2"/>
        <charset val="136"/>
      </rPr>
      <t>然而，這對我來說並不容易</t>
    </r>
    <phoneticPr fontId="1" type="noConversion"/>
  </si>
  <si>
    <r>
      <rPr>
        <sz val="9"/>
        <color theme="1"/>
        <rFont val="微軟正黑體"/>
        <family val="2"/>
        <charset val="136"/>
      </rPr>
      <t>去抹倒或離開你曾留下的生命足跡</t>
    </r>
    <phoneticPr fontId="1" type="noConversion"/>
  </si>
  <si>
    <r>
      <rPr>
        <sz val="9"/>
        <color theme="1"/>
        <rFont val="微軟正黑體"/>
        <family val="2"/>
        <charset val="136"/>
      </rPr>
      <t>因為那些過往早已永恆地雕刻在心底</t>
    </r>
    <phoneticPr fontId="1" type="noConversion"/>
  </si>
  <si>
    <r>
      <rPr>
        <sz val="9"/>
        <color theme="1"/>
        <rFont val="微軟正黑體"/>
        <family val="2"/>
        <charset val="136"/>
      </rPr>
      <t>成為了我最美麗的記憶</t>
    </r>
    <phoneticPr fontId="1" type="noConversion"/>
  </si>
  <si>
    <r>
      <rPr>
        <sz val="9"/>
        <color theme="1"/>
        <rFont val="微軟正黑體"/>
        <family val="2"/>
        <charset val="136"/>
      </rPr>
      <t>那我會將你化作一段回憶</t>
    </r>
    <r>
      <rPr>
        <sz val="9"/>
        <color theme="1"/>
        <rFont val="Aptos"/>
        <family val="2"/>
      </rPr>
      <t xml:space="preserve"> </t>
    </r>
    <phoneticPr fontId="1" type="noConversion"/>
  </si>
  <si>
    <r>
      <rPr>
        <sz val="9"/>
        <color theme="1"/>
        <rFont val="微軟正黑體"/>
        <family val="2"/>
        <charset val="136"/>
      </rPr>
      <t>去離開你曾留下的生命足跡</t>
    </r>
    <phoneticPr fontId="1" type="noConversion"/>
  </si>
  <si>
    <r>
      <rPr>
        <sz val="9"/>
        <color theme="1"/>
        <rFont val="Microsoft JhengHei"/>
        <family val="2"/>
      </rPr>
      <t>小提琴前奏</t>
    </r>
    <r>
      <rPr>
        <sz val="9"/>
        <color theme="1"/>
        <rFont val="Aptos"/>
        <family val="2"/>
      </rPr>
      <t>1</t>
    </r>
    <phoneticPr fontId="1" type="noConversion"/>
  </si>
  <si>
    <r>
      <rPr>
        <sz val="9"/>
        <color theme="1"/>
        <rFont val="Microsoft JhengHei"/>
        <family val="2"/>
      </rPr>
      <t>小提琴前奏</t>
    </r>
    <r>
      <rPr>
        <sz val="9"/>
        <color theme="1"/>
        <rFont val="Aptos"/>
        <family val="2"/>
      </rPr>
      <t>2</t>
    </r>
    <phoneticPr fontId="1" type="noConversion"/>
  </si>
  <si>
    <r>
      <rPr>
        <sz val="9"/>
        <color theme="1"/>
        <rFont val="Microsoft JhengHei"/>
        <family val="2"/>
      </rPr>
      <t>小提琴前奏</t>
    </r>
    <r>
      <rPr>
        <sz val="9"/>
        <color theme="1"/>
        <rFont val="Aptos"/>
        <family val="2"/>
      </rPr>
      <t>3</t>
    </r>
    <phoneticPr fontId="1" type="noConversion"/>
  </si>
  <si>
    <r>
      <rPr>
        <sz val="9"/>
        <color theme="1"/>
        <rFont val="Microsoft JhengHei"/>
        <family val="2"/>
      </rPr>
      <t>課級以上主管</t>
    </r>
    <phoneticPr fontId="1" type="noConversion"/>
  </si>
  <si>
    <r>
      <rPr>
        <sz val="9"/>
        <color theme="1"/>
        <rFont val="Microsoft JhengHei"/>
        <family val="2"/>
      </rPr>
      <t>小提琴間奏</t>
    </r>
    <phoneticPr fontId="1" type="noConversion"/>
  </si>
  <si>
    <t>Theme</t>
    <phoneticPr fontId="1" type="noConversion"/>
  </si>
  <si>
    <r>
      <t>AI</t>
    </r>
    <r>
      <rPr>
        <sz val="9"/>
        <color theme="1"/>
        <rFont val="細明體"/>
        <family val="2"/>
        <charset val="136"/>
      </rPr>
      <t>、</t>
    </r>
    <r>
      <rPr>
        <sz val="9"/>
        <color theme="1"/>
        <rFont val="Microsoft JhengHei"/>
        <family val="2"/>
        <charset val="136"/>
      </rPr>
      <t>自動化、</t>
    </r>
    <r>
      <rPr>
        <sz val="9"/>
        <color theme="1"/>
        <rFont val="Aptos"/>
        <family val="2"/>
      </rPr>
      <t>AGV(</t>
    </r>
    <r>
      <rPr>
        <sz val="9"/>
        <color theme="1"/>
        <rFont val="Microsoft JhengHei"/>
        <family val="2"/>
      </rPr>
      <t>倉庫</t>
    </r>
    <r>
      <rPr>
        <sz val="9"/>
        <color theme="1"/>
        <rFont val="Aptos"/>
        <family val="2"/>
      </rPr>
      <t>)</t>
    </r>
    <phoneticPr fontId="1" type="noConversion"/>
  </si>
  <si>
    <r>
      <t>OP</t>
    </r>
    <r>
      <rPr>
        <sz val="9"/>
        <color theme="1"/>
        <rFont val="Microsoft JhengHei"/>
        <family val="2"/>
      </rPr>
      <t>小人物專注</t>
    </r>
    <r>
      <rPr>
        <sz val="9"/>
        <color theme="1"/>
        <rFont val="Microsoft JhengHei"/>
        <family val="2"/>
        <charset val="136"/>
      </rPr>
      <t>側拍</t>
    </r>
    <phoneticPr fontId="1" type="noConversion"/>
  </si>
  <si>
    <r>
      <t>Staff</t>
    </r>
    <r>
      <rPr>
        <sz val="9"/>
        <color theme="1"/>
        <rFont val="Microsoft JhengHei"/>
        <family val="2"/>
      </rPr>
      <t>小人物專注側拍</t>
    </r>
    <phoneticPr fontId="1" type="noConversion"/>
  </si>
  <si>
    <r>
      <rPr>
        <sz val="9"/>
        <color theme="1"/>
        <rFont val="Microsoft JhengHei"/>
        <family val="2"/>
        <charset val="136"/>
      </rPr>
      <t>團隊合作影片</t>
    </r>
    <phoneticPr fontId="1" type="noConversion"/>
  </si>
  <si>
    <r>
      <rPr>
        <sz val="9"/>
        <color theme="1"/>
        <rFont val="Microsoft JhengHei"/>
        <family val="2"/>
      </rPr>
      <t xml:space="preserve">老闆和客戶
</t>
    </r>
    <r>
      <rPr>
        <sz val="9"/>
        <color theme="1"/>
        <rFont val="Aptos"/>
        <family val="2"/>
      </rPr>
      <t>(</t>
    </r>
    <r>
      <rPr>
        <sz val="9"/>
        <color theme="1"/>
        <rFont val="Microsoft JhengHei"/>
        <family val="2"/>
      </rPr>
      <t>或找人</t>
    </r>
    <r>
      <rPr>
        <sz val="9"/>
        <color theme="1"/>
        <rFont val="Aptos"/>
        <family val="2"/>
      </rPr>
      <t>Lobby</t>
    </r>
    <r>
      <rPr>
        <sz val="9"/>
        <color theme="1"/>
        <rFont val="Microsoft JhengHei"/>
        <family val="2"/>
      </rPr>
      <t>合唱</t>
    </r>
    <r>
      <rPr>
        <sz val="9"/>
        <color theme="1"/>
        <rFont val="Aptos"/>
        <family val="2"/>
      </rPr>
      <t>)</t>
    </r>
    <phoneticPr fontId="1" type="noConversion"/>
  </si>
  <si>
    <r>
      <rPr>
        <sz val="9"/>
        <color rgb="FF0070C0"/>
        <rFont val="Microsoft JhengHei"/>
        <family val="2"/>
      </rPr>
      <t>各廠甄選一位</t>
    </r>
    <phoneticPr fontId="1" type="noConversion"/>
  </si>
  <si>
    <r>
      <rPr>
        <sz val="9"/>
        <color rgb="FF0070C0"/>
        <rFont val="Microsoft JhengHei"/>
        <family val="2"/>
      </rPr>
      <t>橫向拍攝</t>
    </r>
    <phoneticPr fontId="1" type="noConversion"/>
  </si>
  <si>
    <r>
      <rPr>
        <sz val="9"/>
        <color rgb="FF0070C0"/>
        <rFont val="Microsoft JhengHei"/>
        <family val="2"/>
      </rPr>
      <t>影片為主</t>
    </r>
    <phoneticPr fontId="1" type="noConversion"/>
  </si>
  <si>
    <r>
      <rPr>
        <sz val="9"/>
        <color rgb="FF0070C0"/>
        <rFont val="Microsoft JhengHei"/>
        <family val="2"/>
      </rPr>
      <t>有要質感</t>
    </r>
    <r>
      <rPr>
        <sz val="9"/>
        <color rgb="FF0070C0"/>
        <rFont val="Aptos"/>
        <family val="2"/>
      </rPr>
      <t>(</t>
    </r>
    <r>
      <rPr>
        <sz val="9"/>
        <color rgb="FF0070C0"/>
        <rFont val="Microsoft JhengHei"/>
        <family val="2"/>
      </rPr>
      <t>景深</t>
    </r>
    <r>
      <rPr>
        <sz val="9"/>
        <color rgb="FF0070C0"/>
        <rFont val="Aptos"/>
        <family val="2"/>
      </rPr>
      <t>or</t>
    </r>
    <r>
      <rPr>
        <sz val="9"/>
        <color rgb="FF0070C0"/>
        <rFont val="Microsoft JhengHei"/>
        <family val="2"/>
      </rPr>
      <t>背景虛化</t>
    </r>
    <r>
      <rPr>
        <sz val="9"/>
        <color rgb="FF0070C0"/>
        <rFont val="Aptos"/>
        <family val="2"/>
      </rPr>
      <t>)</t>
    </r>
    <phoneticPr fontId="1" type="noConversion"/>
  </si>
  <si>
    <r>
      <rPr>
        <sz val="9"/>
        <color rgb="FF0070C0"/>
        <rFont val="Microsoft JhengHei"/>
        <family val="2"/>
      </rPr>
      <t>順便準備</t>
    </r>
    <r>
      <rPr>
        <sz val="9"/>
        <color rgb="FF0070C0"/>
        <rFont val="Aptos"/>
        <family val="2"/>
      </rPr>
      <t>GSM</t>
    </r>
    <r>
      <rPr>
        <sz val="9"/>
        <color rgb="FF0070C0"/>
        <rFont val="Microsoft JhengHei"/>
        <family val="2"/>
      </rPr>
      <t>報告素材</t>
    </r>
    <phoneticPr fontId="1" type="noConversion"/>
  </si>
  <si>
    <r>
      <rPr>
        <sz val="9"/>
        <color rgb="FF0070C0"/>
        <rFont val="Microsoft JhengHei"/>
        <family val="2"/>
      </rPr>
      <t>快、慢動作搭配</t>
    </r>
    <phoneticPr fontId="1" type="noConversion"/>
  </si>
  <si>
    <r>
      <rPr>
        <sz val="9"/>
        <color rgb="FF0070C0"/>
        <rFont val="Microsoft JhengHei"/>
        <family val="2"/>
      </rPr>
      <t>角度要多元</t>
    </r>
    <phoneticPr fontId="1" type="noConversion"/>
  </si>
  <si>
    <r>
      <t>2025</t>
    </r>
    <r>
      <rPr>
        <sz val="9"/>
        <color theme="1"/>
        <rFont val="Microsoft JhengHei"/>
        <family val="2"/>
      </rPr>
      <t>這一年大家辛苦了，這兩年謝謝你們留下這</t>
    </r>
    <r>
      <rPr>
        <sz val="9"/>
        <color theme="1"/>
        <rFont val="Segoe UI Symbol"/>
        <family val="1"/>
      </rPr>
      <t>⌈</t>
    </r>
    <r>
      <rPr>
        <sz val="9"/>
        <color theme="1"/>
        <rFont val="Microsoft JhengHei"/>
        <family val="1"/>
      </rPr>
      <t>最</t>
    </r>
    <r>
      <rPr>
        <sz val="9"/>
        <color theme="1"/>
        <rFont val="Microsoft JhengHei"/>
        <family val="2"/>
      </rPr>
      <t>美好的回憶</t>
    </r>
    <r>
      <rPr>
        <sz val="9"/>
        <color theme="1"/>
        <rFont val="Segoe UI Symbol"/>
        <family val="1"/>
      </rPr>
      <t>⌋</t>
    </r>
    <phoneticPr fontId="1" type="noConversion"/>
  </si>
  <si>
    <r>
      <rPr>
        <sz val="9"/>
        <color theme="1"/>
        <rFont val="Microsoft JhengHei"/>
        <family val="2"/>
      </rPr>
      <t>每人一張，一個節拍一人，動作隨意</t>
    </r>
    <r>
      <rPr>
        <sz val="9"/>
        <color theme="1"/>
        <rFont val="細明體"/>
        <family val="2"/>
        <charset val="136"/>
      </rPr>
      <t>；</t>
    </r>
    <r>
      <rPr>
        <sz val="9"/>
        <color theme="1"/>
        <rFont val="Microsoft JhengHei"/>
        <family val="2"/>
      </rPr>
      <t>課級--&gt;部級--&gt;廠級--&gt;處級</t>
    </r>
    <phoneticPr fontId="1" type="noConversion"/>
  </si>
  <si>
    <r>
      <t>Manager</t>
    </r>
    <r>
      <rPr>
        <sz val="9"/>
        <color theme="1"/>
        <rFont val="Microsoft JhengHei"/>
        <family val="2"/>
      </rPr>
      <t>上課</t>
    </r>
    <r>
      <rPr>
        <sz val="9"/>
        <color theme="1"/>
        <rFont val="Aptos"/>
        <family val="2"/>
      </rPr>
      <t>or</t>
    </r>
    <r>
      <rPr>
        <sz val="9"/>
        <color theme="1"/>
        <rFont val="Microsoft JhengHei"/>
        <family val="2"/>
      </rPr>
      <t>側拍</t>
    </r>
    <phoneticPr fontId="1" type="noConversion"/>
  </si>
  <si>
    <t>Time</t>
    <phoneticPr fontId="1" type="noConversion"/>
  </si>
  <si>
    <t>-</t>
    <phoneticPr fontId="1" type="noConversion"/>
  </si>
  <si>
    <t>SMT,FATP,OQC,倉庫,FME,SMT設備</t>
    <phoneticPr fontId="1" type="noConversion"/>
  </si>
  <si>
    <r>
      <rPr>
        <sz val="9"/>
        <color theme="1"/>
        <rFont val="微軟正黑體"/>
        <family val="2"/>
        <charset val="136"/>
      </rPr>
      <t>公司外景</t>
    </r>
    <r>
      <rPr>
        <sz val="9"/>
        <color theme="1"/>
        <rFont val="Aptos"/>
        <family val="2"/>
      </rPr>
      <t>→</t>
    </r>
    <r>
      <rPr>
        <sz val="9"/>
        <color theme="1"/>
        <rFont val="微軟正黑體"/>
        <family val="2"/>
        <charset val="136"/>
      </rPr>
      <t>内景</t>
    </r>
    <phoneticPr fontId="1" type="noConversion"/>
  </si>
  <si>
    <t>自動化，SMT工程，PE，QA，FPM，IE
6人*3s</t>
    <phoneticPr fontId="1" type="noConversion"/>
  </si>
  <si>
    <r>
      <rPr>
        <sz val="9"/>
        <color theme="1"/>
        <rFont val="Aptos"/>
        <family val="2"/>
      </rPr>
      <t>6</t>
    </r>
    <r>
      <rPr>
        <sz val="9"/>
        <color theme="1"/>
        <rFont val="微軟正黑體"/>
        <family val="2"/>
        <charset val="136"/>
      </rPr>
      <t>人</t>
    </r>
    <r>
      <rPr>
        <sz val="9"/>
        <color theme="1"/>
        <rFont val="Aptos"/>
        <family val="2"/>
      </rPr>
      <t>*3s</t>
    </r>
    <phoneticPr fontId="1" type="noConversion"/>
  </si>
  <si>
    <r>
      <t>Ui</t>
    </r>
    <r>
      <rPr>
        <sz val="9"/>
        <color theme="1"/>
        <rFont val="微軟正黑體"/>
        <family val="2"/>
        <charset val="136"/>
      </rPr>
      <t>的大學教授講課（</t>
    </r>
    <r>
      <rPr>
        <sz val="9"/>
        <color theme="1"/>
        <rFont val="Aptos"/>
        <family val="2"/>
      </rPr>
      <t>8s</t>
    </r>
    <r>
      <rPr>
        <sz val="9"/>
        <color theme="1"/>
        <rFont val="微軟正黑體"/>
        <family val="2"/>
        <charset val="136"/>
      </rPr>
      <t>），FU培訓（7s），内部培訓（7s）</t>
    </r>
    <phoneticPr fontId="1" type="noConversion"/>
  </si>
  <si>
    <t>回顧去年尾牙，結尾銜接今年</t>
    <phoneticPr fontId="1" type="noConversion"/>
  </si>
  <si>
    <t>公司活動（比賽類）</t>
    <phoneticPr fontId="1" type="noConversion"/>
  </si>
  <si>
    <t>公司活動（CSR類）</t>
    <phoneticPr fontId="1" type="noConversion"/>
  </si>
  <si>
    <r>
      <rPr>
        <sz val="9"/>
        <color theme="1"/>
        <rFont val="微軟正黑體"/>
        <family val="2"/>
        <charset val="136"/>
      </rPr>
      <t>主管合唱</t>
    </r>
    <r>
      <rPr>
        <sz val="9"/>
        <color theme="1"/>
        <rFont val="Aptos"/>
        <family val="2"/>
      </rPr>
      <t>+</t>
    </r>
    <r>
      <rPr>
        <sz val="9"/>
        <color theme="1"/>
        <rFont val="微軟正黑體"/>
        <family val="2"/>
        <charset val="136"/>
      </rPr>
      <t>老闆和客戶合照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</si>
</sst>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9"/>
      <color theme="1"/>
      <name val="微軟正黑體"/>
      <family val="2"/>
      <charset val="136"/>
    </font>
    <font>
      <sz val="9"/>
      <color rgb="FF0070C0"/>
      <name val="Aptos"/>
      <family val="2"/>
    </font>
    <font>
      <sz val="9"/>
      <color theme="1"/>
      <name val="Microsoft JhengHei"/>
      <family val="2"/>
      <charset val="136"/>
    </font>
    <font>
      <sz val="9"/>
      <color theme="1"/>
      <name val="Microsoft JhengHei"/>
      <family val="2"/>
    </font>
    <font>
      <sz val="9"/>
      <color theme="1"/>
      <name val="微軟正黑體"/>
      <family val="2"/>
      <charset val="136"/>
    </font>
    <font>
      <sz val="9"/>
      <color theme="1"/>
      <name val="細明體"/>
      <family val="2"/>
      <charset val="136"/>
    </font>
    <font>
      <sz val="9"/>
      <color theme="1"/>
      <name val="Segoe UI Symbol"/>
      <family val="1"/>
    </font>
    <font>
      <sz val="9"/>
      <color theme="1"/>
      <name val="Microsoft JhengHei"/>
      <family val="1"/>
    </font>
    <font>
      <sz val="9"/>
      <color theme="1" tint="4.9989318521683403E-2"/>
      <name val="Aptos"/>
      <family val="2"/>
    </font>
    <font>
      <sz val="9"/>
      <color rgb="FF0070C0"/>
      <name val="Microsoft JhengHei"/>
      <family val="2"/>
    </font>
    <font>
      <sz val="9"/>
      <color theme="1"/>
      <name val="Aptos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0" fontId="2" fillId="2" borderId="2" xfId="0" applyNumberFormat="1" applyFont="1" applyFill="1" applyBorder="1" applyAlignment="1">
      <alignment horizontal="center" vertical="center"/>
    </xf>
    <xf numFmtId="20" fontId="2" fillId="2" borderId="2" xfId="0" applyNumberFormat="1" applyFont="1" applyFill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2" borderId="4" xfId="0" applyFont="1" applyFill="1" applyBorder="1" applyAlignment="1">
      <alignment horizontal="left" vertical="center"/>
    </xf>
    <xf numFmtId="0" fontId="14" fillId="2" borderId="6" xfId="0" applyFont="1" applyFill="1" applyBorder="1">
      <alignment vertical="center"/>
    </xf>
    <xf numFmtId="0" fontId="14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1FE4-2A98-4870-97D5-3E95B088A6FD}">
  <dimension ref="B1:J33"/>
  <sheetViews>
    <sheetView topLeftCell="B3" zoomScale="160" zoomScaleNormal="160" workbookViewId="0">
      <selection activeCell="H14" sqref="H14"/>
    </sheetView>
  </sheetViews>
  <sheetFormatPr defaultColWidth="9.08984375" defaultRowHeight="12"/>
  <cols>
    <col min="1" max="1" width="1.36328125" style="1" customWidth="1"/>
    <col min="2" max="2" width="14.54296875" style="1" bestFit="1" customWidth="1"/>
    <col min="3" max="3" width="36.26953125" style="1" bestFit="1" customWidth="1"/>
    <col min="4" max="4" width="33" style="1" customWidth="1"/>
    <col min="5" max="6" width="5" style="1" bestFit="1" customWidth="1"/>
    <col min="7" max="7" width="18" style="1" bestFit="1" customWidth="1"/>
    <col min="8" max="8" width="48.54296875" style="1" bestFit="1" customWidth="1"/>
    <col min="9" max="9" width="2.26953125" style="1" customWidth="1"/>
    <col min="10" max="10" width="20" style="1" bestFit="1" customWidth="1"/>
    <col min="11" max="16384" width="9.08984375" style="1"/>
  </cols>
  <sheetData>
    <row r="1" spans="2:10">
      <c r="C1" s="2" t="s">
        <v>20</v>
      </c>
      <c r="D1" s="2" t="s">
        <v>33</v>
      </c>
      <c r="E1" s="2" t="s">
        <v>22</v>
      </c>
      <c r="F1" s="2" t="s">
        <v>23</v>
      </c>
      <c r="G1" s="2" t="s">
        <v>64</v>
      </c>
      <c r="H1" s="2" t="s">
        <v>24</v>
      </c>
    </row>
    <row r="2" spans="2:10" ht="14">
      <c r="B2" s="16" t="s">
        <v>27</v>
      </c>
      <c r="C2" s="3" t="s">
        <v>59</v>
      </c>
      <c r="D2" s="3"/>
      <c r="E2" s="4">
        <v>0</v>
      </c>
      <c r="F2" s="4">
        <v>15</v>
      </c>
      <c r="G2" s="4" t="s">
        <v>34</v>
      </c>
      <c r="H2" s="5" t="s">
        <v>77</v>
      </c>
    </row>
    <row r="3" spans="2:10" ht="12.5">
      <c r="B3" s="16" t="s">
        <v>28</v>
      </c>
      <c r="C3" s="3" t="s">
        <v>60</v>
      </c>
      <c r="D3" s="3"/>
      <c r="E3" s="4">
        <v>15</v>
      </c>
      <c r="F3" s="4">
        <v>21</v>
      </c>
      <c r="G3" s="15" t="s">
        <v>62</v>
      </c>
      <c r="H3" s="3" t="s">
        <v>78</v>
      </c>
    </row>
    <row r="4" spans="2:10">
      <c r="B4" s="16" t="s">
        <v>29</v>
      </c>
      <c r="C4" s="3" t="s">
        <v>61</v>
      </c>
      <c r="D4" s="3"/>
      <c r="E4" s="4">
        <v>21</v>
      </c>
      <c r="F4" s="4">
        <v>42</v>
      </c>
      <c r="G4" s="4" t="s">
        <v>46</v>
      </c>
      <c r="H4" s="5"/>
    </row>
    <row r="5" spans="2:10">
      <c r="B5" s="33" t="s">
        <v>31</v>
      </c>
      <c r="C5" s="6" t="s">
        <v>0</v>
      </c>
      <c r="D5" s="6" t="s">
        <v>35</v>
      </c>
      <c r="E5" s="42">
        <v>42</v>
      </c>
      <c r="F5" s="42">
        <v>60</v>
      </c>
      <c r="G5" s="39" t="s">
        <v>66</v>
      </c>
      <c r="H5" s="14"/>
      <c r="J5" s="17" t="s">
        <v>70</v>
      </c>
    </row>
    <row r="6" spans="2:10">
      <c r="B6" s="33"/>
      <c r="C6" s="7" t="s">
        <v>1</v>
      </c>
      <c r="D6" s="8" t="s">
        <v>36</v>
      </c>
      <c r="E6" s="43"/>
      <c r="F6" s="43"/>
      <c r="G6" s="40"/>
      <c r="H6" s="10"/>
      <c r="J6" s="17" t="s">
        <v>71</v>
      </c>
    </row>
    <row r="7" spans="2:10">
      <c r="B7" s="33"/>
      <c r="C7" s="7" t="s">
        <v>2</v>
      </c>
      <c r="D7" s="8" t="s">
        <v>37</v>
      </c>
      <c r="E7" s="43"/>
      <c r="F7" s="43"/>
      <c r="G7" s="40"/>
      <c r="H7" s="10"/>
      <c r="J7" s="17" t="s">
        <v>72</v>
      </c>
    </row>
    <row r="8" spans="2:10">
      <c r="B8" s="33"/>
      <c r="C8" s="9" t="s">
        <v>3</v>
      </c>
      <c r="D8" s="9" t="s">
        <v>38</v>
      </c>
      <c r="E8" s="44"/>
      <c r="F8" s="44"/>
      <c r="G8" s="41"/>
      <c r="H8" s="11"/>
      <c r="J8" s="17" t="s">
        <v>73</v>
      </c>
    </row>
    <row r="9" spans="2:10">
      <c r="B9" s="33" t="s">
        <v>32</v>
      </c>
      <c r="C9" s="7" t="s">
        <v>4</v>
      </c>
      <c r="D9" s="7" t="s">
        <v>39</v>
      </c>
      <c r="E9" s="31">
        <v>60</v>
      </c>
      <c r="F9" s="34">
        <v>5.4166666666666669E-2</v>
      </c>
      <c r="G9" s="39" t="s">
        <v>67</v>
      </c>
      <c r="H9" s="14"/>
      <c r="J9" s="17" t="s">
        <v>75</v>
      </c>
    </row>
    <row r="10" spans="2:10">
      <c r="B10" s="33"/>
      <c r="C10" s="7" t="s">
        <v>5</v>
      </c>
      <c r="D10" s="7" t="s">
        <v>40</v>
      </c>
      <c r="E10" s="31"/>
      <c r="F10" s="31"/>
      <c r="G10" s="40"/>
      <c r="H10" s="10"/>
      <c r="J10" s="17" t="s">
        <v>76</v>
      </c>
    </row>
    <row r="11" spans="2:10">
      <c r="B11" s="33"/>
      <c r="C11" s="9" t="s">
        <v>6</v>
      </c>
      <c r="D11" s="9" t="s">
        <v>42</v>
      </c>
      <c r="E11" s="32"/>
      <c r="F11" s="32"/>
      <c r="G11" s="41"/>
      <c r="H11" s="11"/>
    </row>
    <row r="12" spans="2:10">
      <c r="B12" s="33"/>
      <c r="C12" s="7" t="s">
        <v>7</v>
      </c>
      <c r="D12" s="6" t="s">
        <v>44</v>
      </c>
      <c r="E12" s="35">
        <v>5.4166666666666669E-2</v>
      </c>
      <c r="F12" s="35">
        <v>6.9444444444444448E-2</v>
      </c>
      <c r="G12" s="30" t="s">
        <v>79</v>
      </c>
      <c r="H12" s="14"/>
    </row>
    <row r="13" spans="2:10">
      <c r="B13" s="33"/>
      <c r="C13" s="7" t="s">
        <v>8</v>
      </c>
      <c r="D13" s="7" t="s">
        <v>45</v>
      </c>
      <c r="E13" s="31"/>
      <c r="F13" s="31"/>
      <c r="G13" s="31"/>
      <c r="H13" s="10"/>
    </row>
    <row r="14" spans="2:10">
      <c r="B14" s="33"/>
      <c r="C14" s="7" t="s">
        <v>9</v>
      </c>
      <c r="D14" s="8" t="s">
        <v>47</v>
      </c>
      <c r="E14" s="31"/>
      <c r="F14" s="31"/>
      <c r="G14" s="31"/>
      <c r="H14" s="10"/>
    </row>
    <row r="15" spans="2:10">
      <c r="B15" s="33"/>
      <c r="C15" s="9" t="s">
        <v>10</v>
      </c>
      <c r="D15" s="9" t="s">
        <v>48</v>
      </c>
      <c r="E15" s="32"/>
      <c r="F15" s="32"/>
      <c r="G15" s="32"/>
      <c r="H15" s="11"/>
    </row>
    <row r="16" spans="2:10">
      <c r="B16" s="33" t="s">
        <v>25</v>
      </c>
      <c r="C16" s="7" t="s">
        <v>11</v>
      </c>
      <c r="D16" s="7" t="s">
        <v>49</v>
      </c>
      <c r="E16" s="34">
        <v>6.9444444444444448E-2</v>
      </c>
      <c r="F16" s="34">
        <v>8.1250000000000003E-2</v>
      </c>
      <c r="G16" s="39" t="s">
        <v>68</v>
      </c>
      <c r="H16" s="14"/>
    </row>
    <row r="17" spans="2:10">
      <c r="B17" s="33"/>
      <c r="C17" s="7" t="s">
        <v>12</v>
      </c>
      <c r="D17" s="8" t="s">
        <v>50</v>
      </c>
      <c r="E17" s="31"/>
      <c r="F17" s="31"/>
      <c r="G17" s="40"/>
      <c r="H17" s="10"/>
    </row>
    <row r="18" spans="2:10">
      <c r="B18" s="33"/>
      <c r="C18" s="7" t="s">
        <v>13</v>
      </c>
      <c r="D18" s="7" t="s">
        <v>51</v>
      </c>
      <c r="E18" s="31"/>
      <c r="F18" s="31"/>
      <c r="G18" s="40"/>
      <c r="H18" s="10"/>
    </row>
    <row r="19" spans="2:10">
      <c r="B19" s="33"/>
      <c r="C19" s="9" t="s">
        <v>14</v>
      </c>
      <c r="D19" s="9" t="s">
        <v>52</v>
      </c>
      <c r="E19" s="32"/>
      <c r="F19" s="32"/>
      <c r="G19" s="41"/>
      <c r="H19" s="11"/>
    </row>
    <row r="20" spans="2:10">
      <c r="B20" s="33" t="s">
        <v>21</v>
      </c>
      <c r="C20" s="7" t="s">
        <v>15</v>
      </c>
      <c r="D20" s="7" t="s">
        <v>53</v>
      </c>
      <c r="E20" s="34">
        <v>8.1250000000000003E-2</v>
      </c>
      <c r="F20" s="34">
        <v>9.583333333333334E-2</v>
      </c>
      <c r="G20" s="39" t="s">
        <v>68</v>
      </c>
      <c r="H20" s="14"/>
    </row>
    <row r="21" spans="2:10">
      <c r="B21" s="33"/>
      <c r="C21" s="7" t="s">
        <v>16</v>
      </c>
      <c r="D21" s="8" t="s">
        <v>54</v>
      </c>
      <c r="E21" s="31"/>
      <c r="F21" s="31"/>
      <c r="G21" s="40"/>
      <c r="H21" s="10"/>
    </row>
    <row r="22" spans="2:10">
      <c r="B22" s="33"/>
      <c r="C22" s="7" t="s">
        <v>17</v>
      </c>
      <c r="D22" s="8" t="s">
        <v>55</v>
      </c>
      <c r="E22" s="31"/>
      <c r="F22" s="31"/>
      <c r="G22" s="40"/>
      <c r="H22" s="10"/>
    </row>
    <row r="23" spans="2:10">
      <c r="B23" s="33"/>
      <c r="C23" s="7" t="s">
        <v>18</v>
      </c>
      <c r="D23" s="7" t="s">
        <v>56</v>
      </c>
      <c r="E23" s="31"/>
      <c r="F23" s="31"/>
      <c r="G23" s="41"/>
      <c r="H23" s="11"/>
    </row>
    <row r="24" spans="2:10">
      <c r="B24" s="33"/>
      <c r="C24" s="3" t="s">
        <v>19</v>
      </c>
      <c r="D24" s="3"/>
      <c r="E24" s="12">
        <v>9.583333333333334E-2</v>
      </c>
      <c r="F24" s="13">
        <v>0.10694444444444444</v>
      </c>
      <c r="G24" s="4" t="s">
        <v>41</v>
      </c>
      <c r="H24" s="5"/>
    </row>
    <row r="25" spans="2:10">
      <c r="B25" s="16" t="s">
        <v>30</v>
      </c>
      <c r="C25" s="3" t="s">
        <v>63</v>
      </c>
      <c r="D25" s="3"/>
      <c r="E25" s="12">
        <v>0.10694444444444444</v>
      </c>
      <c r="F25" s="13">
        <v>0.12222222222222222</v>
      </c>
      <c r="G25" s="4" t="s">
        <v>43</v>
      </c>
      <c r="H25" s="5"/>
    </row>
    <row r="26" spans="2:10">
      <c r="B26" s="33" t="s">
        <v>26</v>
      </c>
      <c r="C26" s="7" t="s">
        <v>11</v>
      </c>
      <c r="D26" s="7" t="s">
        <v>49</v>
      </c>
      <c r="E26" s="34">
        <v>0.12222222222222222</v>
      </c>
      <c r="F26" s="34">
        <v>0.13402777777777777</v>
      </c>
      <c r="G26" s="30" t="s">
        <v>65</v>
      </c>
      <c r="H26" s="14"/>
      <c r="J26" s="17" t="s">
        <v>74</v>
      </c>
    </row>
    <row r="27" spans="2:10">
      <c r="B27" s="33"/>
      <c r="C27" s="7" t="s">
        <v>12</v>
      </c>
      <c r="D27" s="7" t="s">
        <v>50</v>
      </c>
      <c r="E27" s="31"/>
      <c r="F27" s="31"/>
      <c r="G27" s="31"/>
      <c r="H27" s="10"/>
    </row>
    <row r="28" spans="2:10">
      <c r="B28" s="33"/>
      <c r="C28" s="7" t="s">
        <v>13</v>
      </c>
      <c r="D28" s="7" t="s">
        <v>57</v>
      </c>
      <c r="E28" s="31"/>
      <c r="F28" s="31"/>
      <c r="G28" s="31"/>
      <c r="H28" s="10"/>
    </row>
    <row r="29" spans="2:10">
      <c r="B29" s="33"/>
      <c r="C29" s="9" t="s">
        <v>14</v>
      </c>
      <c r="D29" s="9" t="s">
        <v>52</v>
      </c>
      <c r="E29" s="32"/>
      <c r="F29" s="32"/>
      <c r="G29" s="32"/>
      <c r="H29" s="11"/>
    </row>
    <row r="30" spans="2:10">
      <c r="B30" s="33"/>
      <c r="C30" s="6" t="s">
        <v>15</v>
      </c>
      <c r="D30" s="6" t="s">
        <v>53</v>
      </c>
      <c r="E30" s="35">
        <v>0.13402777777777777</v>
      </c>
      <c r="F30" s="35">
        <v>0.16111111111111112</v>
      </c>
      <c r="G30" s="45" t="s">
        <v>69</v>
      </c>
      <c r="H30" s="14"/>
    </row>
    <row r="31" spans="2:10">
      <c r="B31" s="33"/>
      <c r="C31" s="7" t="s">
        <v>16</v>
      </c>
      <c r="D31" s="7" t="s">
        <v>58</v>
      </c>
      <c r="E31" s="31"/>
      <c r="F31" s="31"/>
      <c r="G31" s="31"/>
      <c r="H31" s="10"/>
    </row>
    <row r="32" spans="2:10">
      <c r="B32" s="33"/>
      <c r="C32" s="7" t="s">
        <v>17</v>
      </c>
      <c r="D32" s="7" t="s">
        <v>55</v>
      </c>
      <c r="E32" s="31"/>
      <c r="F32" s="31"/>
      <c r="G32" s="31"/>
      <c r="H32" s="10"/>
    </row>
    <row r="33" spans="2:8">
      <c r="B33" s="33"/>
      <c r="C33" s="9" t="s">
        <v>18</v>
      </c>
      <c r="D33" s="9" t="s">
        <v>56</v>
      </c>
      <c r="E33" s="32"/>
      <c r="F33" s="32"/>
      <c r="G33" s="32"/>
      <c r="H33" s="11"/>
    </row>
  </sheetData>
  <mergeCells count="26">
    <mergeCell ref="E5:E8"/>
    <mergeCell ref="F5:F8"/>
    <mergeCell ref="E9:E11"/>
    <mergeCell ref="G20:G23"/>
    <mergeCell ref="G30:G33"/>
    <mergeCell ref="G26:G29"/>
    <mergeCell ref="G5:G8"/>
    <mergeCell ref="G16:G19"/>
    <mergeCell ref="G12:G15"/>
    <mergeCell ref="G9:G11"/>
    <mergeCell ref="B5:B8"/>
    <mergeCell ref="B9:B15"/>
    <mergeCell ref="B16:B19"/>
    <mergeCell ref="B20:B24"/>
    <mergeCell ref="B26:B33"/>
    <mergeCell ref="F9:F11"/>
    <mergeCell ref="E12:E15"/>
    <mergeCell ref="F12:F15"/>
    <mergeCell ref="E30:E33"/>
    <mergeCell ref="F30:F33"/>
    <mergeCell ref="E16:E19"/>
    <mergeCell ref="F16:F19"/>
    <mergeCell ref="E20:E23"/>
    <mergeCell ref="F20:F23"/>
    <mergeCell ref="E26:E29"/>
    <mergeCell ref="F26:F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1ABF-27C0-4B4F-A96A-22A00062C8C3}">
  <dimension ref="B1:K33"/>
  <sheetViews>
    <sheetView tabSelected="1" topLeftCell="A11" zoomScaleNormal="100" workbookViewId="0">
      <selection activeCell="I26" sqref="I26:I29"/>
    </sheetView>
  </sheetViews>
  <sheetFormatPr defaultColWidth="9.08984375" defaultRowHeight="12"/>
  <cols>
    <col min="1" max="1" width="1.36328125" style="1" customWidth="1"/>
    <col min="2" max="2" width="14.54296875" style="1" bestFit="1" customWidth="1"/>
    <col min="3" max="3" width="36.26953125" style="1" bestFit="1" customWidth="1"/>
    <col min="4" max="4" width="33" style="1" customWidth="1"/>
    <col min="5" max="6" width="5" style="1" bestFit="1" customWidth="1"/>
    <col min="7" max="7" width="5" style="1" customWidth="1"/>
    <col min="8" max="8" width="18" style="1" bestFit="1" customWidth="1"/>
    <col min="9" max="9" width="48.54296875" style="1" bestFit="1" customWidth="1"/>
    <col min="10" max="10" width="2.26953125" style="1" customWidth="1"/>
    <col min="11" max="11" width="20" style="1" bestFit="1" customWidth="1"/>
    <col min="12" max="16384" width="9.08984375" style="1"/>
  </cols>
  <sheetData>
    <row r="1" spans="2:11">
      <c r="C1" s="2" t="s">
        <v>20</v>
      </c>
      <c r="D1" s="2" t="s">
        <v>33</v>
      </c>
      <c r="E1" s="2" t="s">
        <v>22</v>
      </c>
      <c r="F1" s="2" t="s">
        <v>23</v>
      </c>
      <c r="G1" s="2" t="s">
        <v>80</v>
      </c>
      <c r="H1" s="2" t="s">
        <v>64</v>
      </c>
      <c r="I1" s="2" t="s">
        <v>24</v>
      </c>
    </row>
    <row r="2" spans="2:11" ht="14">
      <c r="B2" s="16" t="s">
        <v>27</v>
      </c>
      <c r="C2" s="3" t="s">
        <v>59</v>
      </c>
      <c r="D2" s="3" t="s">
        <v>81</v>
      </c>
      <c r="E2" s="4">
        <v>0</v>
      </c>
      <c r="F2" s="4">
        <v>15</v>
      </c>
      <c r="G2" s="4">
        <f>F2-E2</f>
        <v>15</v>
      </c>
      <c r="H2" s="4" t="s">
        <v>34</v>
      </c>
      <c r="I2" s="5" t="s">
        <v>77</v>
      </c>
    </row>
    <row r="3" spans="2:11">
      <c r="B3" s="16" t="s">
        <v>28</v>
      </c>
      <c r="C3" s="3" t="s">
        <v>60</v>
      </c>
      <c r="D3" s="3" t="s">
        <v>81</v>
      </c>
      <c r="E3" s="4">
        <v>15</v>
      </c>
      <c r="F3" s="4">
        <v>21</v>
      </c>
      <c r="G3" s="4">
        <f>F3-E3</f>
        <v>6</v>
      </c>
      <c r="H3" s="23" t="s">
        <v>62</v>
      </c>
      <c r="I3" s="46" t="s">
        <v>87</v>
      </c>
    </row>
    <row r="4" spans="2:11">
      <c r="B4" s="16" t="s">
        <v>29</v>
      </c>
      <c r="C4" s="3" t="s">
        <v>61</v>
      </c>
      <c r="D4" s="3" t="s">
        <v>81</v>
      </c>
      <c r="E4" s="4">
        <v>21</v>
      </c>
      <c r="F4" s="4">
        <v>42</v>
      </c>
      <c r="G4" s="4">
        <f>F4-E4</f>
        <v>21</v>
      </c>
      <c r="H4" s="22" t="s">
        <v>46</v>
      </c>
      <c r="I4" s="19" t="s">
        <v>83</v>
      </c>
    </row>
    <row r="5" spans="2:11">
      <c r="B5" s="33" t="s">
        <v>31</v>
      </c>
      <c r="C5" s="6" t="s">
        <v>0</v>
      </c>
      <c r="D5" s="6" t="s">
        <v>35</v>
      </c>
      <c r="E5" s="42">
        <v>42</v>
      </c>
      <c r="F5" s="42">
        <v>60</v>
      </c>
      <c r="G5" s="30">
        <f t="shared" ref="G5" si="0">F5-E5</f>
        <v>18</v>
      </c>
      <c r="H5" s="39" t="s">
        <v>66</v>
      </c>
      <c r="I5" s="14"/>
      <c r="K5" s="17" t="s">
        <v>70</v>
      </c>
    </row>
    <row r="6" spans="2:11">
      <c r="B6" s="33"/>
      <c r="C6" s="7" t="s">
        <v>1</v>
      </c>
      <c r="D6" s="8" t="s">
        <v>36</v>
      </c>
      <c r="E6" s="43"/>
      <c r="F6" s="43"/>
      <c r="G6" s="31"/>
      <c r="H6" s="40"/>
      <c r="I6" s="18" t="s">
        <v>82</v>
      </c>
      <c r="K6" s="17" t="s">
        <v>71</v>
      </c>
    </row>
    <row r="7" spans="2:11">
      <c r="B7" s="33"/>
      <c r="C7" s="7" t="s">
        <v>2</v>
      </c>
      <c r="D7" s="8" t="s">
        <v>37</v>
      </c>
      <c r="E7" s="43"/>
      <c r="F7" s="43"/>
      <c r="G7" s="31"/>
      <c r="H7" s="40"/>
      <c r="I7" s="20" t="s">
        <v>85</v>
      </c>
      <c r="K7" s="17" t="s">
        <v>72</v>
      </c>
    </row>
    <row r="8" spans="2:11">
      <c r="B8" s="33"/>
      <c r="C8" s="9" t="s">
        <v>3</v>
      </c>
      <c r="D8" s="9" t="s">
        <v>38</v>
      </c>
      <c r="E8" s="44"/>
      <c r="F8" s="44"/>
      <c r="G8" s="32"/>
      <c r="H8" s="41"/>
      <c r="I8" s="11"/>
      <c r="K8" s="17" t="s">
        <v>73</v>
      </c>
    </row>
    <row r="9" spans="2:11">
      <c r="B9" s="33" t="s">
        <v>32</v>
      </c>
      <c r="C9" s="7" t="s">
        <v>4</v>
      </c>
      <c r="D9" s="7" t="s">
        <v>39</v>
      </c>
      <c r="E9" s="31">
        <v>60</v>
      </c>
      <c r="F9" s="34">
        <v>5.4166666666666669E-2</v>
      </c>
      <c r="G9" s="30">
        <v>18</v>
      </c>
      <c r="H9" s="39" t="s">
        <v>67</v>
      </c>
      <c r="I9" s="14"/>
      <c r="K9" s="17" t="s">
        <v>75</v>
      </c>
    </row>
    <row r="10" spans="2:11" ht="24">
      <c r="B10" s="33"/>
      <c r="C10" s="7" t="s">
        <v>5</v>
      </c>
      <c r="D10" s="7" t="s">
        <v>40</v>
      </c>
      <c r="E10" s="31"/>
      <c r="F10" s="31"/>
      <c r="G10" s="31"/>
      <c r="H10" s="40"/>
      <c r="I10" s="21" t="s">
        <v>84</v>
      </c>
      <c r="K10" s="17" t="s">
        <v>76</v>
      </c>
    </row>
    <row r="11" spans="2:11">
      <c r="B11" s="33"/>
      <c r="C11" s="9" t="s">
        <v>6</v>
      </c>
      <c r="D11" s="9" t="s">
        <v>42</v>
      </c>
      <c r="E11" s="32"/>
      <c r="F11" s="32"/>
      <c r="G11" s="32"/>
      <c r="H11" s="41"/>
      <c r="I11" s="11"/>
    </row>
    <row r="12" spans="2:11">
      <c r="B12" s="33"/>
      <c r="C12" s="7" t="s">
        <v>7</v>
      </c>
      <c r="D12" s="6" t="s">
        <v>44</v>
      </c>
      <c r="E12" s="35">
        <v>5.4166666666666669E-2</v>
      </c>
      <c r="F12" s="35">
        <v>6.9444444444444448E-2</v>
      </c>
      <c r="G12" s="30">
        <v>22</v>
      </c>
      <c r="H12" s="30" t="s">
        <v>79</v>
      </c>
      <c r="I12" s="14"/>
    </row>
    <row r="13" spans="2:11">
      <c r="B13" s="33"/>
      <c r="C13" s="7" t="s">
        <v>8</v>
      </c>
      <c r="D13" s="7" t="s">
        <v>45</v>
      </c>
      <c r="E13" s="31"/>
      <c r="F13" s="31"/>
      <c r="G13" s="31"/>
      <c r="H13" s="31"/>
      <c r="I13" s="24" t="s">
        <v>86</v>
      </c>
    </row>
    <row r="14" spans="2:11">
      <c r="B14" s="33"/>
      <c r="C14" s="7" t="s">
        <v>9</v>
      </c>
      <c r="D14" s="8" t="s">
        <v>47</v>
      </c>
      <c r="E14" s="31"/>
      <c r="F14" s="31"/>
      <c r="G14" s="31"/>
      <c r="H14" s="31"/>
      <c r="I14" s="24"/>
    </row>
    <row r="15" spans="2:11">
      <c r="B15" s="33"/>
      <c r="C15" s="9" t="s">
        <v>10</v>
      </c>
      <c r="D15" s="9" t="s">
        <v>48</v>
      </c>
      <c r="E15" s="32"/>
      <c r="F15" s="32"/>
      <c r="G15" s="32"/>
      <c r="H15" s="32"/>
      <c r="I15" s="11"/>
    </row>
    <row r="16" spans="2:11" ht="17" customHeight="1">
      <c r="B16" s="33" t="s">
        <v>25</v>
      </c>
      <c r="C16" s="7" t="s">
        <v>11</v>
      </c>
      <c r="D16" s="7" t="s">
        <v>49</v>
      </c>
      <c r="E16" s="34">
        <v>6.9444444444444448E-2</v>
      </c>
      <c r="F16" s="34">
        <v>8.1250000000000003E-2</v>
      </c>
      <c r="G16" s="30">
        <v>17</v>
      </c>
      <c r="H16" s="39" t="s">
        <v>68</v>
      </c>
      <c r="I16" s="25" t="s">
        <v>88</v>
      </c>
    </row>
    <row r="17" spans="2:11">
      <c r="B17" s="33"/>
      <c r="C17" s="7" t="s">
        <v>12</v>
      </c>
      <c r="D17" s="8" t="s">
        <v>50</v>
      </c>
      <c r="E17" s="31"/>
      <c r="F17" s="31"/>
      <c r="G17" s="31"/>
      <c r="H17" s="40"/>
      <c r="I17" s="26"/>
    </row>
    <row r="18" spans="2:11">
      <c r="B18" s="33"/>
      <c r="C18" s="7" t="s">
        <v>13</v>
      </c>
      <c r="D18" s="7" t="s">
        <v>51</v>
      </c>
      <c r="E18" s="31"/>
      <c r="F18" s="31"/>
      <c r="G18" s="31"/>
      <c r="H18" s="40"/>
      <c r="I18" s="26"/>
    </row>
    <row r="19" spans="2:11">
      <c r="B19" s="33"/>
      <c r="C19" s="9" t="s">
        <v>14</v>
      </c>
      <c r="D19" s="9" t="s">
        <v>52</v>
      </c>
      <c r="E19" s="32"/>
      <c r="F19" s="32"/>
      <c r="G19" s="32"/>
      <c r="H19" s="41"/>
      <c r="I19" s="27"/>
    </row>
    <row r="20" spans="2:11" ht="17" customHeight="1">
      <c r="B20" s="33" t="s">
        <v>21</v>
      </c>
      <c r="C20" s="7" t="s">
        <v>15</v>
      </c>
      <c r="D20" s="7" t="s">
        <v>53</v>
      </c>
      <c r="E20" s="34">
        <v>8.1250000000000003E-2</v>
      </c>
      <c r="F20" s="34">
        <v>9.583333333333334E-2</v>
      </c>
      <c r="G20" s="30">
        <v>21</v>
      </c>
      <c r="H20" s="39" t="s">
        <v>68</v>
      </c>
      <c r="I20" s="25" t="s">
        <v>89</v>
      </c>
    </row>
    <row r="21" spans="2:11">
      <c r="B21" s="33"/>
      <c r="C21" s="7" t="s">
        <v>16</v>
      </c>
      <c r="D21" s="8" t="s">
        <v>54</v>
      </c>
      <c r="E21" s="31"/>
      <c r="F21" s="31"/>
      <c r="G21" s="31"/>
      <c r="H21" s="40"/>
      <c r="I21" s="26"/>
    </row>
    <row r="22" spans="2:11">
      <c r="B22" s="33"/>
      <c r="C22" s="7" t="s">
        <v>17</v>
      </c>
      <c r="D22" s="8" t="s">
        <v>55</v>
      </c>
      <c r="E22" s="31"/>
      <c r="F22" s="31"/>
      <c r="G22" s="31"/>
      <c r="H22" s="40"/>
      <c r="I22" s="26"/>
    </row>
    <row r="23" spans="2:11">
      <c r="B23" s="33"/>
      <c r="C23" s="7" t="s">
        <v>18</v>
      </c>
      <c r="D23" s="7" t="s">
        <v>56</v>
      </c>
      <c r="E23" s="31"/>
      <c r="F23" s="31"/>
      <c r="G23" s="32"/>
      <c r="H23" s="41"/>
      <c r="I23" s="27"/>
    </row>
    <row r="24" spans="2:11">
      <c r="B24" s="33"/>
      <c r="C24" s="3" t="s">
        <v>19</v>
      </c>
      <c r="D24" s="3"/>
      <c r="E24" s="12">
        <v>9.583333333333334E-2</v>
      </c>
      <c r="F24" s="13">
        <v>0.10694444444444444</v>
      </c>
      <c r="G24" s="4">
        <f>34-18</f>
        <v>16</v>
      </c>
      <c r="H24" s="4" t="s">
        <v>41</v>
      </c>
      <c r="I24" s="5"/>
    </row>
    <row r="25" spans="2:11">
      <c r="B25" s="16" t="s">
        <v>30</v>
      </c>
      <c r="C25" s="3" t="s">
        <v>63</v>
      </c>
      <c r="D25" s="3"/>
      <c r="E25" s="12">
        <v>0.10694444444444444</v>
      </c>
      <c r="F25" s="13">
        <v>0.12222222222222222</v>
      </c>
      <c r="G25" s="4">
        <f>56-34</f>
        <v>22</v>
      </c>
      <c r="H25" s="4" t="s">
        <v>43</v>
      </c>
      <c r="I25" s="5"/>
    </row>
    <row r="26" spans="2:11">
      <c r="B26" s="33" t="s">
        <v>26</v>
      </c>
      <c r="C26" s="7" t="s">
        <v>11</v>
      </c>
      <c r="D26" s="7" t="s">
        <v>49</v>
      </c>
      <c r="E26" s="34">
        <v>0.12222222222222222</v>
      </c>
      <c r="F26" s="34">
        <v>0.13402777777777777</v>
      </c>
      <c r="G26" s="30">
        <v>17</v>
      </c>
      <c r="H26" s="30" t="s">
        <v>65</v>
      </c>
      <c r="I26" s="28"/>
      <c r="K26" s="17" t="s">
        <v>74</v>
      </c>
    </row>
    <row r="27" spans="2:11">
      <c r="B27" s="33"/>
      <c r="C27" s="7" t="s">
        <v>12</v>
      </c>
      <c r="D27" s="7" t="s">
        <v>50</v>
      </c>
      <c r="E27" s="31"/>
      <c r="F27" s="31"/>
      <c r="G27" s="31"/>
      <c r="H27" s="31"/>
      <c r="I27" s="24"/>
    </row>
    <row r="28" spans="2:11">
      <c r="B28" s="33"/>
      <c r="C28" s="7" t="s">
        <v>13</v>
      </c>
      <c r="D28" s="7" t="s">
        <v>57</v>
      </c>
      <c r="E28" s="31"/>
      <c r="F28" s="31"/>
      <c r="G28" s="31"/>
      <c r="H28" s="31"/>
      <c r="I28" s="24"/>
    </row>
    <row r="29" spans="2:11">
      <c r="B29" s="33"/>
      <c r="C29" s="9" t="s">
        <v>14</v>
      </c>
      <c r="D29" s="9" t="s">
        <v>52</v>
      </c>
      <c r="E29" s="32"/>
      <c r="F29" s="32"/>
      <c r="G29" s="32"/>
      <c r="H29" s="32"/>
      <c r="I29" s="29"/>
    </row>
    <row r="30" spans="2:11">
      <c r="B30" s="33"/>
      <c r="C30" s="6" t="s">
        <v>15</v>
      </c>
      <c r="D30" s="6" t="s">
        <v>53</v>
      </c>
      <c r="E30" s="35">
        <v>0.13402777777777777</v>
      </c>
      <c r="F30" s="35">
        <v>0.16111111111111112</v>
      </c>
      <c r="G30" s="30">
        <f>52-13</f>
        <v>39</v>
      </c>
      <c r="H30" s="36" t="s">
        <v>69</v>
      </c>
      <c r="I30" s="47" t="s">
        <v>90</v>
      </c>
    </row>
    <row r="31" spans="2:11">
      <c r="B31" s="33"/>
      <c r="C31" s="7" t="s">
        <v>16</v>
      </c>
      <c r="D31" s="7" t="s">
        <v>58</v>
      </c>
      <c r="E31" s="31"/>
      <c r="F31" s="31"/>
      <c r="G31" s="31"/>
      <c r="H31" s="37"/>
      <c r="I31" s="24"/>
    </row>
    <row r="32" spans="2:11">
      <c r="B32" s="33"/>
      <c r="C32" s="7" t="s">
        <v>17</v>
      </c>
      <c r="D32" s="7" t="s">
        <v>55</v>
      </c>
      <c r="E32" s="31"/>
      <c r="F32" s="31"/>
      <c r="G32" s="31"/>
      <c r="H32" s="37"/>
      <c r="I32" s="24"/>
    </row>
    <row r="33" spans="2:9">
      <c r="B33" s="33"/>
      <c r="C33" s="9" t="s">
        <v>18</v>
      </c>
      <c r="D33" s="9" t="s">
        <v>56</v>
      </c>
      <c r="E33" s="32"/>
      <c r="F33" s="32"/>
      <c r="G33" s="32"/>
      <c r="H33" s="38"/>
      <c r="I33" s="29"/>
    </row>
  </sheetData>
  <mergeCells count="38">
    <mergeCell ref="B20:B24"/>
    <mergeCell ref="E20:E23"/>
    <mergeCell ref="F20:F23"/>
    <mergeCell ref="H20:H23"/>
    <mergeCell ref="B5:B8"/>
    <mergeCell ref="E5:E8"/>
    <mergeCell ref="F5:F8"/>
    <mergeCell ref="H5:H8"/>
    <mergeCell ref="B9:B15"/>
    <mergeCell ref="E9:E11"/>
    <mergeCell ref="F9:F11"/>
    <mergeCell ref="H9:H11"/>
    <mergeCell ref="E12:E15"/>
    <mergeCell ref="F12:F15"/>
    <mergeCell ref="H12:H15"/>
    <mergeCell ref="B16:B19"/>
    <mergeCell ref="E16:E19"/>
    <mergeCell ref="F16:F19"/>
    <mergeCell ref="H16:H19"/>
    <mergeCell ref="G26:G29"/>
    <mergeCell ref="B26:B33"/>
    <mergeCell ref="E26:E29"/>
    <mergeCell ref="F26:F29"/>
    <mergeCell ref="H26:H29"/>
    <mergeCell ref="E30:E33"/>
    <mergeCell ref="F30:F33"/>
    <mergeCell ref="H30:H33"/>
    <mergeCell ref="G30:G33"/>
    <mergeCell ref="G5:G8"/>
    <mergeCell ref="G9:G11"/>
    <mergeCell ref="G12:G15"/>
    <mergeCell ref="G16:G19"/>
    <mergeCell ref="G20:G23"/>
    <mergeCell ref="I13:I14"/>
    <mergeCell ref="I16:I19"/>
    <mergeCell ref="I20:I23"/>
    <mergeCell ref="I26:I29"/>
    <mergeCell ref="I30:I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Chao(趙啟銘_PTB)</dc:creator>
  <cp:lastModifiedBy>Ryan Zhao(趙遠飛_PTB)</cp:lastModifiedBy>
  <dcterms:created xsi:type="dcterms:W3CDTF">2026-10-14T01:57:39Z</dcterms:created>
  <dcterms:modified xsi:type="dcterms:W3CDTF">2026-10-23T08:47:21Z</dcterms:modified>
</cp:coreProperties>
</file>